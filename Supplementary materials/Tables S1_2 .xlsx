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485" windowHeight="8355" tabRatio="500"/>
  </bookViews>
  <sheets>
    <sheet name="Table S1" sheetId="1" r:id="rId1"/>
    <sheet name="Table S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<sst xmlns="http://schemas.openxmlformats.org/spreadsheetml/2006/main" count="48" uniqueCount="32">
  <si>
    <t>Sampling</t>
  </si>
  <si>
    <t>Population</t>
  </si>
  <si>
    <t>Catching date</t>
  </si>
  <si>
    <t xml:space="preserve">Temperature °C </t>
  </si>
  <si>
    <t>Still water experiment date</t>
  </si>
  <si>
    <t>Treadmill experiment date</t>
  </si>
  <si>
    <t>River speed</t>
  </si>
  <si>
    <t>EveS riverine</t>
  </si>
  <si>
    <t>15.6</t>
  </si>
  <si>
    <t>EveS lake</t>
  </si>
  <si>
    <t>15.2</t>
  </si>
  <si>
    <t>EveW lake</t>
  </si>
  <si>
    <t>14.6</t>
  </si>
  <si>
    <t>EviW riverine</t>
  </si>
  <si>
    <t>EviW lake</t>
  </si>
  <si>
    <t>13.7</t>
  </si>
  <si>
    <t>14.5</t>
  </si>
  <si>
    <t>15.7</t>
  </si>
  <si>
    <t>12.0</t>
  </si>
  <si>
    <t>2.10-2024-3.10.2024</t>
  </si>
  <si>
    <t>10.5</t>
  </si>
  <si>
    <t>11.0</t>
  </si>
  <si>
    <t>12.2</t>
  </si>
  <si>
    <t>sampling</t>
  </si>
  <si>
    <t>repetition</t>
  </si>
  <si>
    <t>n per repetition</t>
  </si>
  <si>
    <t>n per population</t>
  </si>
  <si>
    <t>riverine EveS</t>
  </si>
  <si>
    <t>lake EveS</t>
  </si>
  <si>
    <r>
      <t>lake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Arial"/>
        <charset val="134"/>
      </rPr>
      <t>EveW</t>
    </r>
  </si>
  <si>
    <r>
      <t>riverine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Arial"/>
        <charset val="134"/>
      </rPr>
      <t>EviW</t>
    </r>
  </si>
  <si>
    <t>lake EviW</t>
  </si>
</sst>
</file>

<file path=xl/styles.xml><?xml version="1.0" encoding="utf-8"?>
<styleSheet xmlns="http://schemas.openxmlformats.org/spreadsheetml/2006/main">
  <numFmts count="5">
    <numFmt numFmtId="176" formatCode="dd/mm/yy"/>
    <numFmt numFmtId="43" formatCode="_-* #,##0.00_-;\-* #,##0.00_-;_-* &quot;-&quot;??_-;_-@_-"/>
    <numFmt numFmtId="41" formatCode="_-* #,##0_-;\-* #,##0_-;_-* &quot;-&quot;_-;_-@_-"/>
    <numFmt numFmtId="177" formatCode="_-* #,##0_-;\-&quot;₽&quot;* #,##0_-;_-&quot;₽&quot;* &quot;-&quot;_-;_-@_-"/>
    <numFmt numFmtId="178" formatCode="_-&quot;₽&quot;* #,##0.00_-;\-&quot;₽&quot;* #,##0.00_-;_-&quot;₽&quot;* &quot;-&quot;??_-;_-@_-"/>
  </numFmts>
  <fonts count="23"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5" fillId="4" borderId="4" applyNumberFormat="0" applyAlignment="0" applyProtection="0">
      <alignment vertical="center"/>
    </xf>
    <xf numFmtId="178" fontId="2" fillId="0" borderId="0" applyBorder="0" applyAlignment="0" applyProtection="0"/>
    <xf numFmtId="0" fontId="8" fillId="5" borderId="0" applyNumberFormat="0" applyBorder="0" applyAlignment="0" applyProtection="0">
      <alignment vertical="center"/>
    </xf>
    <xf numFmtId="0" fontId="11" fillId="6" borderId="7" applyNumberFormat="0" applyFon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41" fontId="2" fillId="0" borderId="0" applyBorder="0" applyAlignment="0" applyProtection="0"/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2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3" fontId="2" fillId="0" borderId="0" applyBorder="0" applyAlignment="0" applyProtection="0"/>
    <xf numFmtId="0" fontId="19" fillId="29" borderId="10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" fillId="0" borderId="0" xfId="0" applyNumberFormat="1" applyFont="1">
      <alignment vertical="center"/>
    </xf>
    <xf numFmtId="176" fontId="1" fillId="0" borderId="2" xfId="0" applyNumberFormat="1" applyFont="1" applyBorder="1">
      <alignment vertical="center"/>
    </xf>
    <xf numFmtId="0" fontId="1" fillId="0" borderId="0" xfId="0" applyFont="1">
      <alignment vertical="center"/>
    </xf>
    <xf numFmtId="0" fontId="1" fillId="2" borderId="2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"/>
  <sheetViews>
    <sheetView tabSelected="1" zoomScale="140" zoomScaleNormal="140" workbookViewId="0">
      <selection activeCell="B14" sqref="B14"/>
    </sheetView>
  </sheetViews>
  <sheetFormatPr defaultColWidth="8.45777777777778" defaultRowHeight="16.5" outlineLevelCol="7"/>
  <cols>
    <col min="2" max="2" width="11.72" customWidth="1"/>
    <col min="3" max="3" width="12.0311111111111" customWidth="1"/>
    <col min="4" max="4" width="13.1111111111111" customWidth="1"/>
  </cols>
  <sheetData>
    <row r="2" spans="1:8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6"/>
      <c r="H2" s="17" t="s">
        <v>6</v>
      </c>
    </row>
    <row r="3" spans="1:8">
      <c r="A3" s="13">
        <v>1</v>
      </c>
      <c r="B3" s="9" t="s">
        <v>7</v>
      </c>
      <c r="C3" s="14">
        <v>45544</v>
      </c>
      <c r="D3" s="9" t="s">
        <v>8</v>
      </c>
      <c r="E3" s="15">
        <v>45552</v>
      </c>
      <c r="F3" s="15">
        <v>45553</v>
      </c>
      <c r="G3" s="16"/>
      <c r="H3" s="16"/>
    </row>
    <row r="4" spans="1:8">
      <c r="A4" s="13"/>
      <c r="B4" s="9" t="s">
        <v>9</v>
      </c>
      <c r="C4" s="14">
        <v>45545</v>
      </c>
      <c r="D4" s="9" t="s">
        <v>10</v>
      </c>
      <c r="E4" s="15"/>
      <c r="F4" s="15"/>
      <c r="G4" s="16"/>
      <c r="H4" s="16"/>
    </row>
    <row r="5" spans="1:8">
      <c r="A5" s="13"/>
      <c r="B5" s="9" t="s">
        <v>11</v>
      </c>
      <c r="C5" s="14">
        <v>45545</v>
      </c>
      <c r="D5" s="9" t="s">
        <v>12</v>
      </c>
      <c r="E5" s="15"/>
      <c r="F5" s="15"/>
      <c r="G5" s="16"/>
      <c r="H5" s="16"/>
    </row>
    <row r="6" spans="1:8">
      <c r="A6" s="13"/>
      <c r="B6" s="9" t="s">
        <v>13</v>
      </c>
      <c r="C6" s="14">
        <v>45546</v>
      </c>
      <c r="D6" s="9" t="s">
        <v>8</v>
      </c>
      <c r="E6" s="15"/>
      <c r="F6" s="15"/>
      <c r="G6" s="16"/>
      <c r="H6" s="16"/>
    </row>
    <row r="7" spans="1:8">
      <c r="A7" s="13"/>
      <c r="B7" s="12" t="s">
        <v>14</v>
      </c>
      <c r="C7" s="15">
        <v>45545</v>
      </c>
      <c r="D7" s="12" t="s">
        <v>12</v>
      </c>
      <c r="E7" s="15"/>
      <c r="F7" s="15"/>
      <c r="G7" s="16"/>
      <c r="H7" s="16"/>
    </row>
    <row r="8" spans="1:8">
      <c r="A8" s="13">
        <v>2</v>
      </c>
      <c r="B8" s="9" t="s">
        <v>7</v>
      </c>
      <c r="C8" s="14">
        <v>45547</v>
      </c>
      <c r="D8" s="9" t="s">
        <v>10</v>
      </c>
      <c r="E8" s="15">
        <v>45554</v>
      </c>
      <c r="F8" s="15">
        <v>45555</v>
      </c>
      <c r="G8" s="16"/>
      <c r="H8" s="16"/>
    </row>
    <row r="9" spans="1:8">
      <c r="A9" s="13"/>
      <c r="B9" s="9" t="s">
        <v>9</v>
      </c>
      <c r="C9" s="14">
        <v>45548</v>
      </c>
      <c r="D9" s="9" t="s">
        <v>15</v>
      </c>
      <c r="E9" s="15"/>
      <c r="F9" s="15"/>
      <c r="G9" s="16"/>
      <c r="H9" s="16"/>
    </row>
    <row r="10" spans="1:8">
      <c r="A10" s="13"/>
      <c r="B10" s="9" t="s">
        <v>11</v>
      </c>
      <c r="C10" s="14">
        <v>45548</v>
      </c>
      <c r="D10" s="9" t="s">
        <v>16</v>
      </c>
      <c r="E10" s="15"/>
      <c r="F10" s="15"/>
      <c r="G10" s="16"/>
      <c r="H10" s="16"/>
    </row>
    <row r="11" spans="1:8">
      <c r="A11" s="13"/>
      <c r="B11" s="9" t="s">
        <v>13</v>
      </c>
      <c r="C11" s="14">
        <v>45547</v>
      </c>
      <c r="D11" s="9" t="s">
        <v>17</v>
      </c>
      <c r="E11" s="15"/>
      <c r="F11" s="15"/>
      <c r="G11" s="16"/>
      <c r="H11" s="16"/>
    </row>
    <row r="12" spans="1:8">
      <c r="A12" s="13"/>
      <c r="B12" s="12" t="s">
        <v>14</v>
      </c>
      <c r="C12" s="15">
        <v>45548</v>
      </c>
      <c r="D12" s="12" t="s">
        <v>16</v>
      </c>
      <c r="E12" s="15"/>
      <c r="F12" s="15"/>
      <c r="G12" s="16"/>
      <c r="H12" s="16"/>
    </row>
    <row r="13" spans="1:8">
      <c r="A13" s="13">
        <v>3</v>
      </c>
      <c r="B13" s="9" t="s">
        <v>7</v>
      </c>
      <c r="C13" s="14">
        <v>45559</v>
      </c>
      <c r="D13" s="9" t="s">
        <v>18</v>
      </c>
      <c r="E13" s="15">
        <v>45566</v>
      </c>
      <c r="F13" s="12" t="s">
        <v>19</v>
      </c>
      <c r="G13" s="16"/>
      <c r="H13" s="16"/>
    </row>
    <row r="14" spans="1:8">
      <c r="A14" s="13"/>
      <c r="B14" s="9" t="s">
        <v>9</v>
      </c>
      <c r="C14" s="14">
        <v>45560</v>
      </c>
      <c r="D14" s="9" t="s">
        <v>20</v>
      </c>
      <c r="E14" s="15"/>
      <c r="F14" s="15"/>
      <c r="G14" s="16"/>
      <c r="H14" s="16"/>
    </row>
    <row r="15" spans="1:8">
      <c r="A15" s="13"/>
      <c r="B15" s="9" t="s">
        <v>11</v>
      </c>
      <c r="C15" s="14">
        <v>45560</v>
      </c>
      <c r="D15" s="9" t="s">
        <v>21</v>
      </c>
      <c r="E15" s="15"/>
      <c r="F15" s="15"/>
      <c r="G15" s="16"/>
      <c r="H15" s="16"/>
    </row>
    <row r="16" spans="1:8">
      <c r="A16" s="13"/>
      <c r="B16" s="9" t="s">
        <v>13</v>
      </c>
      <c r="C16" s="14">
        <v>45559</v>
      </c>
      <c r="D16" s="9" t="s">
        <v>22</v>
      </c>
      <c r="E16" s="15"/>
      <c r="F16" s="15"/>
      <c r="G16" s="16"/>
      <c r="H16" s="16"/>
    </row>
    <row r="17" spans="1:8">
      <c r="A17" s="13"/>
      <c r="B17" s="12" t="s">
        <v>14</v>
      </c>
      <c r="C17" s="15">
        <v>45560</v>
      </c>
      <c r="D17" s="12" t="s">
        <v>21</v>
      </c>
      <c r="E17" s="15"/>
      <c r="F17" s="15"/>
      <c r="G17" s="16"/>
      <c r="H17" s="16"/>
    </row>
  </sheetData>
  <mergeCells count="9">
    <mergeCell ref="A3:A7"/>
    <mergeCell ref="A8:A12"/>
    <mergeCell ref="A13:A17"/>
    <mergeCell ref="E3:E7"/>
    <mergeCell ref="E8:E12"/>
    <mergeCell ref="E13:E17"/>
    <mergeCell ref="F3:F7"/>
    <mergeCell ref="F8:F12"/>
    <mergeCell ref="F13:F17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zoomScale="140" zoomScaleNormal="140" workbookViewId="0">
      <selection activeCell="B44" sqref="B44"/>
    </sheetView>
  </sheetViews>
  <sheetFormatPr defaultColWidth="8.45777777777778" defaultRowHeight="16.5" outlineLevelCol="4"/>
  <sheetData>
    <row r="1" spans="1:5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s="2" t="s">
        <v>27</v>
      </c>
      <c r="B2" s="3">
        <v>1</v>
      </c>
      <c r="C2" s="3">
        <v>1</v>
      </c>
      <c r="D2" s="3">
        <v>10</v>
      </c>
      <c r="E2" s="10">
        <f>49</f>
        <v>49</v>
      </c>
    </row>
    <row r="3" spans="1:5">
      <c r="A3" s="2"/>
      <c r="B3" s="3">
        <v>1</v>
      </c>
      <c r="C3" s="3">
        <v>2</v>
      </c>
      <c r="D3" s="3">
        <v>10</v>
      </c>
      <c r="E3" s="10"/>
    </row>
    <row r="4" spans="1:5">
      <c r="A4" s="2"/>
      <c r="B4" s="3">
        <v>2</v>
      </c>
      <c r="C4" s="3">
        <v>1</v>
      </c>
      <c r="D4" s="3">
        <v>7</v>
      </c>
      <c r="E4" s="10"/>
    </row>
    <row r="5" spans="1:5">
      <c r="A5" s="2"/>
      <c r="B5" s="3">
        <v>2</v>
      </c>
      <c r="C5" s="3">
        <v>2</v>
      </c>
      <c r="D5" s="3">
        <v>8</v>
      </c>
      <c r="E5" s="10"/>
    </row>
    <row r="6" spans="1:5">
      <c r="A6" s="2"/>
      <c r="B6" s="3">
        <v>3</v>
      </c>
      <c r="C6" s="3">
        <v>1</v>
      </c>
      <c r="D6" s="3">
        <v>7</v>
      </c>
      <c r="E6" s="10"/>
    </row>
    <row r="7" ht="17.25" spans="1:5">
      <c r="A7" s="4"/>
      <c r="B7" s="5">
        <v>3</v>
      </c>
      <c r="C7" s="5">
        <v>2</v>
      </c>
      <c r="D7" s="5">
        <v>7</v>
      </c>
      <c r="E7" s="11"/>
    </row>
    <row r="8" spans="1:5">
      <c r="A8" s="6" t="s">
        <v>28</v>
      </c>
      <c r="B8">
        <v>1</v>
      </c>
      <c r="C8">
        <v>1</v>
      </c>
      <c r="D8">
        <v>8</v>
      </c>
      <c r="E8" s="10">
        <f>48</f>
        <v>48</v>
      </c>
    </row>
    <row r="9" spans="1:5">
      <c r="A9" s="6"/>
      <c r="B9">
        <v>1</v>
      </c>
      <c r="C9">
        <v>2</v>
      </c>
      <c r="D9">
        <v>7</v>
      </c>
      <c r="E9" s="10"/>
    </row>
    <row r="10" spans="1:5">
      <c r="A10" s="6"/>
      <c r="B10">
        <v>2</v>
      </c>
      <c r="C10">
        <v>1</v>
      </c>
      <c r="D10">
        <v>7</v>
      </c>
      <c r="E10" s="10"/>
    </row>
    <row r="11" spans="1:5">
      <c r="A11" s="6"/>
      <c r="B11">
        <v>2</v>
      </c>
      <c r="C11">
        <v>2</v>
      </c>
      <c r="D11">
        <v>8</v>
      </c>
      <c r="E11" s="10"/>
    </row>
    <row r="12" spans="1:5">
      <c r="A12" s="6"/>
      <c r="B12">
        <v>3</v>
      </c>
      <c r="C12">
        <v>1</v>
      </c>
      <c r="D12">
        <v>10</v>
      </c>
      <c r="E12" s="10"/>
    </row>
    <row r="13" ht="17.25" spans="1:5">
      <c r="A13" s="7"/>
      <c r="B13" s="8">
        <v>3</v>
      </c>
      <c r="C13" s="8">
        <v>2</v>
      </c>
      <c r="D13" s="8">
        <v>8</v>
      </c>
      <c r="E13" s="11"/>
    </row>
    <row r="14" spans="1:5">
      <c r="A14" s="6" t="s">
        <v>29</v>
      </c>
      <c r="B14">
        <v>1</v>
      </c>
      <c r="C14">
        <v>1</v>
      </c>
      <c r="D14">
        <v>7</v>
      </c>
      <c r="E14" s="10">
        <f>48</f>
        <v>48</v>
      </c>
    </row>
    <row r="15" spans="1:5">
      <c r="A15" s="6"/>
      <c r="B15">
        <v>1</v>
      </c>
      <c r="C15">
        <v>2</v>
      </c>
      <c r="D15">
        <v>8</v>
      </c>
      <c r="E15" s="10"/>
    </row>
    <row r="16" spans="1:5">
      <c r="A16" s="6"/>
      <c r="B16">
        <v>2</v>
      </c>
      <c r="C16">
        <v>1</v>
      </c>
      <c r="D16">
        <v>10</v>
      </c>
      <c r="E16" s="10"/>
    </row>
    <row r="17" spans="1:5">
      <c r="A17" s="6"/>
      <c r="B17">
        <v>2</v>
      </c>
      <c r="C17">
        <v>2</v>
      </c>
      <c r="D17">
        <v>10</v>
      </c>
      <c r="E17" s="10"/>
    </row>
    <row r="18" spans="1:5">
      <c r="A18" s="6"/>
      <c r="B18">
        <v>3</v>
      </c>
      <c r="C18">
        <v>1</v>
      </c>
      <c r="D18">
        <v>6</v>
      </c>
      <c r="E18" s="10"/>
    </row>
    <row r="19" ht="17.25" spans="1:5">
      <c r="A19" s="7"/>
      <c r="B19" s="8">
        <v>3</v>
      </c>
      <c r="C19" s="8">
        <v>2</v>
      </c>
      <c r="D19" s="8">
        <v>7</v>
      </c>
      <c r="E19" s="11"/>
    </row>
    <row r="20" spans="1:5">
      <c r="A20" s="6" t="s">
        <v>30</v>
      </c>
      <c r="B20">
        <v>1</v>
      </c>
      <c r="C20">
        <v>1</v>
      </c>
      <c r="D20">
        <v>10</v>
      </c>
      <c r="E20" s="10">
        <f>58</f>
        <v>58</v>
      </c>
    </row>
    <row r="21" spans="1:5">
      <c r="A21" s="6"/>
      <c r="B21">
        <v>2</v>
      </c>
      <c r="C21">
        <v>1</v>
      </c>
      <c r="D21">
        <v>10</v>
      </c>
      <c r="E21" s="10"/>
    </row>
    <row r="22" spans="1:5">
      <c r="A22" s="6"/>
      <c r="B22">
        <v>2</v>
      </c>
      <c r="C22">
        <v>2</v>
      </c>
      <c r="D22">
        <v>10</v>
      </c>
      <c r="E22" s="10"/>
    </row>
    <row r="23" spans="1:5">
      <c r="A23" s="6"/>
      <c r="B23">
        <v>3</v>
      </c>
      <c r="C23">
        <v>1</v>
      </c>
      <c r="D23">
        <v>9</v>
      </c>
      <c r="E23" s="10"/>
    </row>
    <row r="24" spans="1:5">
      <c r="A24" s="6"/>
      <c r="B24">
        <v>3</v>
      </c>
      <c r="C24">
        <v>2</v>
      </c>
      <c r="D24">
        <v>9</v>
      </c>
      <c r="E24" s="10"/>
    </row>
    <row r="25" ht="17.25" spans="1:5">
      <c r="A25" s="7"/>
      <c r="B25" s="8">
        <v>3</v>
      </c>
      <c r="C25" s="8">
        <v>3</v>
      </c>
      <c r="D25" s="8">
        <v>10</v>
      </c>
      <c r="E25" s="11"/>
    </row>
    <row r="26" spans="1:5">
      <c r="A26" s="6" t="s">
        <v>31</v>
      </c>
      <c r="B26">
        <v>1</v>
      </c>
      <c r="C26">
        <v>1</v>
      </c>
      <c r="D26">
        <v>10</v>
      </c>
      <c r="E26" s="10">
        <f>56</f>
        <v>56</v>
      </c>
    </row>
    <row r="27" spans="1:5">
      <c r="A27" s="6"/>
      <c r="B27">
        <v>1</v>
      </c>
      <c r="C27">
        <v>2</v>
      </c>
      <c r="D27">
        <v>10</v>
      </c>
      <c r="E27" s="10"/>
    </row>
    <row r="28" spans="1:5">
      <c r="A28" s="6"/>
      <c r="B28">
        <v>2</v>
      </c>
      <c r="C28">
        <v>1</v>
      </c>
      <c r="D28">
        <v>10</v>
      </c>
      <c r="E28" s="10"/>
    </row>
    <row r="29" spans="1:5">
      <c r="A29" s="6"/>
      <c r="B29">
        <v>2</v>
      </c>
      <c r="C29">
        <v>2</v>
      </c>
      <c r="D29">
        <v>10</v>
      </c>
      <c r="E29" s="10"/>
    </row>
    <row r="30" spans="1:5">
      <c r="A30" s="6"/>
      <c r="B30">
        <v>3</v>
      </c>
      <c r="C30">
        <v>1</v>
      </c>
      <c r="D30">
        <v>8</v>
      </c>
      <c r="E30" s="10"/>
    </row>
    <row r="31" ht="17.25" spans="1:5">
      <c r="A31" s="7"/>
      <c r="B31" s="8">
        <v>3</v>
      </c>
      <c r="C31" s="8">
        <v>2</v>
      </c>
      <c r="D31" s="8">
        <v>8</v>
      </c>
      <c r="E31" s="11"/>
    </row>
    <row r="44" spans="4:4">
      <c r="D44" s="9"/>
    </row>
  </sheetData>
  <mergeCells count="10">
    <mergeCell ref="A2:A7"/>
    <mergeCell ref="A8:A13"/>
    <mergeCell ref="A14:A19"/>
    <mergeCell ref="A20:A25"/>
    <mergeCell ref="A26:A31"/>
    <mergeCell ref="E2:E7"/>
    <mergeCell ref="E8:E13"/>
    <mergeCell ref="E14:E19"/>
    <mergeCell ref="E20:E25"/>
    <mergeCell ref="E26:E3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0" zoomScaleNormal="140" workbookViewId="0">
      <selection activeCell="A1" sqref="A1"/>
    </sheetView>
  </sheetViews>
  <sheetFormatPr defaultColWidth="8.45777777777778" defaultRowHeight="16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S1</vt:lpstr>
      <vt:lpstr>Table S2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alexandras</cp:lastModifiedBy>
  <cp:revision>21</cp:revision>
  <dcterms:created xsi:type="dcterms:W3CDTF">2018-05-25T19:28:00Z</dcterms:created>
  <dcterms:modified xsi:type="dcterms:W3CDTF">2026-08-31T15:34:10Z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